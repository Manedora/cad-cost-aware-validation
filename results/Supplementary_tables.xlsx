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 missing data" sheetId="1" r:id="rId1"/>
    <sheet name="S2 algorithm comparisons" sheetId="2" r:id="rId2"/>
    <sheet name="S3 AUC by missing-data method" sheetId="3" r:id="rId3"/>
    <sheet name="S4 predictor definitions" sheetId="4" r:id="rId4"/>
    <sheet name="S5 predictors by cohort" sheetId="5" r:id="rId5"/>
    <sheet name="S6 model coefficients" sheetId="6" r:id="rId6"/>
  </sheets>
  <calcPr calcId="124519" fullCalcOnLoad="1"/>
</workbook>
</file>

<file path=xl/sharedStrings.xml><?xml version="1.0" encoding="utf-8"?>
<sst xmlns="http://schemas.openxmlformats.org/spreadsheetml/2006/main" count="437" uniqueCount="169">
  <si>
    <t>variable</t>
  </si>
  <si>
    <t>Cleveland</t>
  </si>
  <si>
    <t>Hungarian</t>
  </si>
  <si>
    <t>Swiss</t>
  </si>
  <si>
    <t>VA Long Beach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</si>
  <si>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</si>
  <si>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</si>
  <si>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</si>
  <si>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</si>
  <si>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</si>
  <si>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</si>
  <si>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</si>
  <si>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</si>
  <si>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</si>
  <si>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</si>
  <si>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cohort</t>
  </si>
  <si>
    <t>comparison</t>
  </si>
  <si>
    <t>diff</t>
  </si>
  <si>
    <t>ci_low</t>
  </si>
  <si>
    <t>ci_high</t>
  </si>
  <si>
    <t>p_delong</t>
  </si>
  <si>
    <t>non_inferior</t>
  </si>
  <si>
    <t>p_holm</t>
  </si>
  <si>
    <t>LR vs RF</t>
  </si>
  <si>
    <t>LR vs GB</t>
  </si>
  <si>
    <t>method</t>
  </si>
  <si>
    <t>model</t>
  </si>
  <si>
    <t>n</t>
  </si>
  <si>
    <t>auc</t>
  </si>
  <si>
    <t>primary</t>
  </si>
  <si>
    <t>complete case</t>
  </si>
  <si>
    <t>MI, predictors only</t>
  </si>
  <si>
    <t>MI, with outcome</t>
  </si>
  <si>
    <t>full</t>
  </si>
  <si>
    <t>low-cost</t>
  </si>
  <si>
    <t>screening</t>
  </si>
  <si>
    <t>description</t>
  </si>
  <si>
    <t>unit / coding</t>
  </si>
  <si>
    <t>type</t>
  </si>
  <si>
    <t>single-test cost (CA$)</t>
  </si>
  <si>
    <t>preprocessing</t>
  </si>
  <si>
    <t>Age</t>
  </si>
  <si>
    <t>Sex</t>
  </si>
  <si>
    <t>Chest pain type</t>
  </si>
  <si>
    <t>Resting systolic blood pressure on admission</t>
  </si>
  <si>
    <t>Serum cholesterol</t>
  </si>
  <si>
    <t>Fasting blood sugar &gt; 120 mg/dl</t>
  </si>
  <si>
    <t>Resting electrocardiogram</t>
  </si>
  <si>
    <t>Maximum heart rate achieved</t>
  </si>
  <si>
    <t>Exercise-induced angina</t>
  </si>
  <si>
    <t>ST depression induced by exercise relative to rest</t>
  </si>
  <si>
    <t>years</t>
  </si>
  <si>
    <t>1 = male, 0 = female</t>
  </si>
  <si>
    <t>1 = typical angina, 2 = atypical angina, 3 = non-anginal pain, 4 = asymptomatic</t>
  </si>
  <si>
    <t>mm Hg (0 coded as missing in Swiss and VA cohorts)</t>
  </si>
  <si>
    <t>mg/dl (0 coded as missing in Swiss and VA cohorts)</t>
  </si>
  <si>
    <t>1 = true, 0 = false</t>
  </si>
  <si>
    <t>0 = normal, 1 = ST-T wave abnormality, 2 = probable or definite left ventricular hypertrophy</t>
  </si>
  <si>
    <t>beats per minute</t>
  </si>
  <si>
    <t>1 = yes, 0 = no</t>
  </si>
  <si>
    <t>mm</t>
  </si>
  <si>
    <t>continuous</t>
  </si>
  <si>
    <t>binary</t>
  </si>
  <si>
    <t>categorical</t>
  </si>
  <si>
    <t>median imputation + standardisation</t>
  </si>
  <si>
    <t>most-frequent imputation + one-hot encoding</t>
  </si>
  <si>
    <t>level</t>
  </si>
  <si>
    <t>N</t>
  </si>
  <si>
    <t>outcome</t>
  </si>
  <si>
    <t>patients</t>
  </si>
  <si>
    <t>angiographic CAD, n (%)</t>
  </si>
  <si>
    <t>mean (SD)</t>
  </si>
  <si>
    <t>missing, %</t>
  </si>
  <si>
    <t>303</t>
  </si>
  <si>
    <t>139 (45.9)</t>
  </si>
  <si>
    <t>54.4 (9.0)</t>
  </si>
  <si>
    <t>0.0</t>
  </si>
  <si>
    <t>206 (68.0)</t>
  </si>
  <si>
    <t>23 (7.6)</t>
  </si>
  <si>
    <t>50 (16.5)</t>
  </si>
  <si>
    <t>86 (28.4)</t>
  </si>
  <si>
    <t>144 (47.5)</t>
  </si>
  <si>
    <t>131.7 (17.6)</t>
  </si>
  <si>
    <t>246.7 (51.8)</t>
  </si>
  <si>
    <t>45 (14.9)</t>
  </si>
  <si>
    <t>151 (49.8)</t>
  </si>
  <si>
    <t>4 (1.3)</t>
  </si>
  <si>
    <t>148 (48.8)</t>
  </si>
  <si>
    <t>149.6 (22.9)</t>
  </si>
  <si>
    <t>99 (32.7)</t>
  </si>
  <si>
    <t>1.0 (1.2)</t>
  </si>
  <si>
    <t>294</t>
  </si>
  <si>
    <t>106 (36.1)</t>
  </si>
  <si>
    <t>47.8 (7.8)</t>
  </si>
  <si>
    <t>213 (72.4)</t>
  </si>
  <si>
    <t>11 (3.7)</t>
  </si>
  <si>
    <t>54 (18.4)</t>
  </si>
  <si>
    <t>123 (41.8)</t>
  </si>
  <si>
    <t>132.6 (17.6)</t>
  </si>
  <si>
    <t>0.3</t>
  </si>
  <si>
    <t>250.8 (67.7)</t>
  </si>
  <si>
    <t>7.8</t>
  </si>
  <si>
    <t>20 (7.0)</t>
  </si>
  <si>
    <t>2.7</t>
  </si>
  <si>
    <t>235 (80.2)</t>
  </si>
  <si>
    <t>52 (17.7)</t>
  </si>
  <si>
    <t>6 (2.0)</t>
  </si>
  <si>
    <t>139.1 (23.6)</t>
  </si>
  <si>
    <t>89 (30.4)</t>
  </si>
  <si>
    <t>0.6 (0.9)</t>
  </si>
  <si>
    <t>123</t>
  </si>
  <si>
    <t>115 (93.5)</t>
  </si>
  <si>
    <t>55.3 (9.0)</t>
  </si>
  <si>
    <t>113 (91.9)</t>
  </si>
  <si>
    <t>4 (3.3)</t>
  </si>
  <si>
    <t>17 (13.8)</t>
  </si>
  <si>
    <t>98 (79.7)</t>
  </si>
  <si>
    <t>130.2 (22.6)</t>
  </si>
  <si>
    <t>1.6</t>
  </si>
  <si>
    <t>not measured</t>
  </si>
  <si>
    <t>100.0</t>
  </si>
  <si>
    <t>5 (10.4)</t>
  </si>
  <si>
    <t>61.0</t>
  </si>
  <si>
    <t>85 (69.7)</t>
  </si>
  <si>
    <t>30 (24.6)</t>
  </si>
  <si>
    <t>7 (5.7)</t>
  </si>
  <si>
    <t>0.8</t>
  </si>
  <si>
    <t>121.6 (26.0)</t>
  </si>
  <si>
    <t>54 (44.3)</t>
  </si>
  <si>
    <t>0.7 (1.1)</t>
  </si>
  <si>
    <t>4.9</t>
  </si>
  <si>
    <t>200</t>
  </si>
  <si>
    <t>149 (74.5)</t>
  </si>
  <si>
    <t>59.4 (7.8)</t>
  </si>
  <si>
    <t>194 (97.0)</t>
  </si>
  <si>
    <t>8 (4.0)</t>
  </si>
  <si>
    <t>14 (7.0)</t>
  </si>
  <si>
    <t>47 (23.5)</t>
  </si>
  <si>
    <t>131 (65.5)</t>
  </si>
  <si>
    <t>134.7 (18.4)</t>
  </si>
  <si>
    <t>28.5</t>
  </si>
  <si>
    <t>239.6 (52.8)</t>
  </si>
  <si>
    <t>28.0</t>
  </si>
  <si>
    <t>68 (35.2)</t>
  </si>
  <si>
    <t>3.5</t>
  </si>
  <si>
    <t>80 (40.0)</t>
  </si>
  <si>
    <t>93 (46.5)</t>
  </si>
  <si>
    <t>27 (13.5)</t>
  </si>
  <si>
    <t>122.8 (22.0)</t>
  </si>
  <si>
    <t>26.5</t>
  </si>
  <si>
    <t>95 (64.6)</t>
  </si>
  <si>
    <t>1.3 (1.1)</t>
  </si>
  <si>
    <t>term</t>
  </si>
  <si>
    <t>coefficient (log-odds)</t>
  </si>
  <si>
    <t>centre (training median, used for imputation)</t>
  </si>
  <si>
    <t>mean used for standardisation</t>
  </si>
  <si>
    <t>SD used for standardisation</t>
  </si>
  <si>
    <t>coefficient per raw unit</t>
  </si>
  <si>
    <t>Full (10 predictors)</t>
  </si>
  <si>
    <t>Low-cost</t>
  </si>
  <si>
    <t>Screening</t>
  </si>
  <si>
    <t>intercept</t>
  </si>
  <si>
    <t>cp_1.0</t>
  </si>
  <si>
    <t>cp_2.0</t>
  </si>
  <si>
    <t>cp_3.0</t>
  </si>
  <si>
    <t>cp_4.0</t>
  </si>
  <si>
    <t>restecg_0.0</t>
  </si>
  <si>
    <t>restecg_1.0</t>
  </si>
  <si>
    <t>restecg_2.0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</si>
</sst>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0</v>
      </c>
    </row>
    <row r="3" spans="1:5">
      <c r="A3" t="s">
        <v>6</v>
      </c>
      <c r="B3">
        <v>0</v>
      </c>
      <c r="C3">
        <v>0</v>
      </c>
      <c r="D3">
        <v>0</v>
      </c>
      <c r="E3">
        <v>0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  <row r="5" spans="1:5">
      <c r="A5" t="s">
        <v>8</v>
      </c>
      <c r="B5">
        <v>0</v>
      </c>
      <c r="C5">
        <v>0.3</v>
      </c>
      <c r="D5">
        <v>1.6</v>
      </c>
      <c r="E5">
        <v>28.5</v>
      </c>
    </row>
    <row r="6" spans="1:5">
      <c r="A6" t="s">
        <v>9</v>
      </c>
      <c r="B6">
        <v>0</v>
      </c>
      <c r="C6">
        <v>7.8</v>
      </c>
      <c r="D6">
        <v>100</v>
      </c>
      <c r="E6">
        <v>28</v>
      </c>
    </row>
    <row r="7" spans="1:5">
      <c r="A7" t="s">
        <v>10</v>
      </c>
      <c r="B7">
        <v>0</v>
      </c>
      <c r="C7">
        <v>2.7</v>
      </c>
      <c r="D7">
        <v>61</v>
      </c>
      <c r="E7">
        <v>3.5</v>
      </c>
    </row>
    <row r="8" spans="1:5">
      <c r="A8" t="s">
        <v>11</v>
      </c>
      <c r="B8">
        <v>0</v>
      </c>
      <c r="C8">
        <v>0.3</v>
      </c>
      <c r="D8">
        <v>0.8</v>
      </c>
      <c r="E8">
        <v>0</v>
      </c>
    </row>
    <row r="9" spans="1:5">
      <c r="A9" t="s">
        <v>12</v>
      </c>
      <c r="B9">
        <v>0</v>
      </c>
      <c r="C9">
        <v>0.3</v>
      </c>
      <c r="D9">
        <v>0.8</v>
      </c>
      <c r="E9">
        <v>26.5</v>
      </c>
    </row>
    <row r="10" spans="1:5">
      <c r="A10" t="s">
        <v>13</v>
      </c>
      <c r="B10">
        <v>0</v>
      </c>
      <c r="C10">
        <v>0.3</v>
      </c>
      <c r="D10">
        <v>0.8</v>
      </c>
      <c r="E10">
        <v>26.5</v>
      </c>
    </row>
    <row r="11" spans="1:5">
      <c r="A11" t="s">
        <v>14</v>
      </c>
      <c r="B11">
        <v>0</v>
      </c>
      <c r="C11">
        <v>0</v>
      </c>
      <c r="D11">
        <v>4.9</v>
      </c>
      <c r="E1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</v>
      </c>
      <c r="B2" t="s">
        <v>23</v>
      </c>
      <c r="C2">
        <v>-0.008999999999999999</v>
      </c>
      <c r="D2">
        <v>-0.028</v>
      </c>
      <c r="E2">
        <v>0.008999999999999999</v>
      </c>
      <c r="F2">
        <v>0.346</v>
      </c>
      <c r="G2" t="b">
        <v>1</v>
      </c>
      <c r="H2">
        <v>1</v>
      </c>
    </row>
    <row r="3" spans="1:8">
      <c r="A3" t="s">
        <v>2</v>
      </c>
      <c r="B3" t="s">
        <v>24</v>
      </c>
      <c r="C3">
        <v>-0</v>
      </c>
      <c r="D3">
        <v>-0.023</v>
      </c>
      <c r="E3">
        <v>0.023</v>
      </c>
      <c r="F3">
        <v>0.996</v>
      </c>
      <c r="G3" t="b">
        <v>1</v>
      </c>
      <c r="H3">
        <v>1</v>
      </c>
    </row>
    <row r="4" spans="1:8">
      <c r="A4" t="s">
        <v>3</v>
      </c>
      <c r="B4" t="s">
        <v>23</v>
      </c>
      <c r="C4">
        <v>-0.002</v>
      </c>
      <c r="D4">
        <v>-0.101</v>
      </c>
      <c r="E4">
        <v>0.111</v>
      </c>
      <c r="F4">
        <v>0.966</v>
      </c>
      <c r="G4" t="b">
        <v>0</v>
      </c>
      <c r="H4">
        <v>1</v>
      </c>
    </row>
    <row r="5" spans="1:8">
      <c r="A5" t="s">
        <v>3</v>
      </c>
      <c r="B5" t="s">
        <v>24</v>
      </c>
      <c r="C5">
        <v>-0.012</v>
      </c>
      <c r="D5">
        <v>-0.118</v>
      </c>
      <c r="E5">
        <v>0.109</v>
      </c>
      <c r="F5">
        <v>0.8100000000000001</v>
      </c>
      <c r="G5" t="b">
        <v>0</v>
      </c>
      <c r="H5">
        <v>1</v>
      </c>
    </row>
    <row r="6" spans="1:8">
      <c r="A6" t="s">
        <v>4</v>
      </c>
      <c r="B6" t="s">
        <v>23</v>
      </c>
      <c r="C6">
        <v>-0.003</v>
      </c>
      <c r="D6">
        <v>-0.04</v>
      </c>
      <c r="E6">
        <v>0.031</v>
      </c>
      <c r="F6">
        <v>0.866</v>
      </c>
      <c r="G6" t="b">
        <v>1</v>
      </c>
      <c r="H6">
        <v>1</v>
      </c>
    </row>
    <row r="7" spans="1:8">
      <c r="A7" t="s">
        <v>4</v>
      </c>
      <c r="B7" t="s">
        <v>24</v>
      </c>
      <c r="C7">
        <v>0.015</v>
      </c>
      <c r="D7">
        <v>-0.035</v>
      </c>
      <c r="E7">
        <v>0.065</v>
      </c>
      <c r="F7">
        <v>0.555</v>
      </c>
      <c r="G7" t="b">
        <v>1</v>
      </c>
      <c r="H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t="s">
        <v>15</v>
      </c>
      <c r="B1" t="s">
        <v>25</v>
      </c>
      <c r="C1" t="s">
        <v>26</v>
      </c>
      <c r="D1" t="s">
        <v>27</v>
      </c>
      <c r="E1" t="s">
        <v>28</v>
      </c>
      <c r="F1" t="s">
        <v>18</v>
      </c>
      <c r="G1" t="s">
        <v>19</v>
      </c>
    </row>
    <row r="2" spans="1:7">
      <c r="A2" t="s">
        <v>2</v>
      </c>
      <c r="B2" t="s">
        <v>29</v>
      </c>
      <c r="C2" t="s">
        <v>33</v>
      </c>
      <c r="D2">
        <v>294</v>
      </c>
      <c r="E2">
        <v>0.878</v>
      </c>
      <c r="F2">
        <v>0.834</v>
      </c>
      <c r="G2">
        <v>0.922</v>
      </c>
    </row>
    <row r="3" spans="1:7">
      <c r="A3" t="s">
        <v>2</v>
      </c>
      <c r="B3" t="s">
        <v>29</v>
      </c>
      <c r="C3" t="s">
        <v>34</v>
      </c>
      <c r="D3">
        <v>294</v>
      </c>
      <c r="E3">
        <v>0.883</v>
      </c>
      <c r="F3">
        <v>0.838</v>
      </c>
      <c r="G3">
        <v>0.923</v>
      </c>
    </row>
    <row r="4" spans="1:7">
      <c r="A4" t="s">
        <v>2</v>
      </c>
      <c r="B4" t="s">
        <v>29</v>
      </c>
      <c r="C4" t="s">
        <v>35</v>
      </c>
      <c r="D4">
        <v>294</v>
      </c>
      <c r="E4">
        <v>0.835</v>
      </c>
      <c r="F4">
        <v>0.785</v>
      </c>
      <c r="G4">
        <v>0.884</v>
      </c>
    </row>
    <row r="5" spans="1:7">
      <c r="A5" t="s">
        <v>2</v>
      </c>
      <c r="B5" t="s">
        <v>30</v>
      </c>
      <c r="C5" t="s">
        <v>33</v>
      </c>
      <c r="D5">
        <v>261</v>
      </c>
      <c r="E5">
        <v>0.871</v>
      </c>
      <c r="F5">
        <v>0.822</v>
      </c>
      <c r="G5">
        <v>0.917</v>
      </c>
    </row>
    <row r="6" spans="1:7">
      <c r="A6" t="s">
        <v>2</v>
      </c>
      <c r="B6" t="s">
        <v>30</v>
      </c>
      <c r="C6" t="s">
        <v>34</v>
      </c>
      <c r="D6">
        <v>293</v>
      </c>
      <c r="E6">
        <v>0.883</v>
      </c>
      <c r="F6">
        <v>0.836</v>
      </c>
      <c r="G6">
        <v>0.924</v>
      </c>
    </row>
    <row r="7" spans="1:7">
      <c r="A7" t="s">
        <v>2</v>
      </c>
      <c r="B7" t="s">
        <v>30</v>
      </c>
      <c r="C7" t="s">
        <v>35</v>
      </c>
      <c r="D7">
        <v>293</v>
      </c>
      <c r="E7">
        <v>0.834</v>
      </c>
      <c r="F7">
        <v>0.785</v>
      </c>
      <c r="G7">
        <v>0.882</v>
      </c>
    </row>
    <row r="8" spans="1:7">
      <c r="A8" t="s">
        <v>2</v>
      </c>
      <c r="B8" t="s">
        <v>31</v>
      </c>
      <c r="C8" t="s">
        <v>33</v>
      </c>
      <c r="D8">
        <v>294</v>
      </c>
      <c r="E8">
        <v>0.877</v>
      </c>
      <c r="F8">
        <v>0.831</v>
      </c>
      <c r="G8">
        <v>0.918</v>
      </c>
    </row>
    <row r="9" spans="1:7">
      <c r="A9" t="s">
        <v>2</v>
      </c>
      <c r="B9" t="s">
        <v>31</v>
      </c>
      <c r="C9" t="s">
        <v>34</v>
      </c>
      <c r="D9">
        <v>294</v>
      </c>
      <c r="E9">
        <v>0.882</v>
      </c>
      <c r="F9">
        <v>0.838</v>
      </c>
      <c r="G9">
        <v>0.922</v>
      </c>
    </row>
    <row r="10" spans="1:7">
      <c r="A10" t="s">
        <v>2</v>
      </c>
      <c r="B10" t="s">
        <v>31</v>
      </c>
      <c r="C10" t="s">
        <v>35</v>
      </c>
      <c r="D10">
        <v>294</v>
      </c>
      <c r="E10">
        <v>0.835</v>
      </c>
      <c r="F10">
        <v>0.784</v>
      </c>
      <c r="G10">
        <v>0.879</v>
      </c>
    </row>
    <row r="11" spans="1:7">
      <c r="A11" t="s">
        <v>2</v>
      </c>
      <c r="B11" t="s">
        <v>32</v>
      </c>
      <c r="C11" t="s">
        <v>33</v>
      </c>
      <c r="D11">
        <v>294</v>
      </c>
      <c r="E11">
        <v>0.877</v>
      </c>
      <c r="F11">
        <v>0.829</v>
      </c>
      <c r="G11">
        <v>0.919</v>
      </c>
    </row>
    <row r="12" spans="1:7">
      <c r="A12" t="s">
        <v>2</v>
      </c>
      <c r="B12" t="s">
        <v>32</v>
      </c>
      <c r="C12" t="s">
        <v>34</v>
      </c>
      <c r="D12">
        <v>294</v>
      </c>
      <c r="E12">
        <v>0.882</v>
      </c>
      <c r="F12">
        <v>0.836</v>
      </c>
      <c r="G12">
        <v>0.923</v>
      </c>
    </row>
    <row r="13" spans="1:7">
      <c r="A13" t="s">
        <v>2</v>
      </c>
      <c r="B13" t="s">
        <v>32</v>
      </c>
      <c r="C13" t="s">
        <v>35</v>
      </c>
      <c r="D13">
        <v>294</v>
      </c>
      <c r="E13">
        <v>0.835</v>
      </c>
      <c r="F13">
        <v>0.782</v>
      </c>
      <c r="G13">
        <v>0.881</v>
      </c>
    </row>
    <row r="14" spans="1:7">
      <c r="A14" t="s">
        <v>3</v>
      </c>
      <c r="B14" t="s">
        <v>29</v>
      </c>
      <c r="C14" t="s">
        <v>33</v>
      </c>
      <c r="D14">
        <v>123</v>
      </c>
      <c r="E14">
        <v>0.752</v>
      </c>
      <c r="F14">
        <v>0.598</v>
      </c>
      <c r="G14">
        <v>0.91</v>
      </c>
    </row>
    <row r="15" spans="1:7">
      <c r="A15" t="s">
        <v>3</v>
      </c>
      <c r="B15" t="s">
        <v>29</v>
      </c>
      <c r="C15" t="s">
        <v>34</v>
      </c>
      <c r="D15">
        <v>123</v>
      </c>
      <c r="E15">
        <v>0.715</v>
      </c>
      <c r="F15">
        <v>0.446</v>
      </c>
      <c r="G15">
        <v>0.926</v>
      </c>
    </row>
    <row r="16" spans="1:7">
      <c r="A16" t="s">
        <v>3</v>
      </c>
      <c r="B16" t="s">
        <v>29</v>
      </c>
      <c r="C16" t="s">
        <v>35</v>
      </c>
      <c r="D16">
        <v>123</v>
      </c>
      <c r="E16">
        <v>0.766</v>
      </c>
      <c r="F16">
        <v>0.506</v>
      </c>
      <c r="G16">
        <v>0.949</v>
      </c>
    </row>
    <row r="17" spans="1:7">
      <c r="A17" t="s">
        <v>3</v>
      </c>
      <c r="B17" t="s">
        <v>30</v>
      </c>
      <c r="C17" t="s">
        <v>33</v>
      </c>
      <c r="D17">
        <v>0</v>
      </c>
    </row>
    <row r="18" spans="1:7">
      <c r="A18" t="s">
        <v>3</v>
      </c>
      <c r="B18" t="s">
        <v>30</v>
      </c>
      <c r="C18" t="s">
        <v>34</v>
      </c>
      <c r="D18">
        <v>117</v>
      </c>
      <c r="E18">
        <v>0.71</v>
      </c>
      <c r="F18">
        <v>0.432</v>
      </c>
      <c r="G18">
        <v>0.9360000000000001</v>
      </c>
    </row>
    <row r="19" spans="1:7">
      <c r="A19" t="s">
        <v>3</v>
      </c>
      <c r="B19" t="s">
        <v>30</v>
      </c>
      <c r="C19" t="s">
        <v>35</v>
      </c>
      <c r="D19">
        <v>121</v>
      </c>
      <c r="E19">
        <v>0.767</v>
      </c>
      <c r="F19">
        <v>0.504</v>
      </c>
      <c r="G19">
        <v>0.9370000000000001</v>
      </c>
    </row>
    <row r="20" spans="1:7">
      <c r="A20" t="s">
        <v>3</v>
      </c>
      <c r="B20" t="s">
        <v>31</v>
      </c>
      <c r="C20" t="s">
        <v>33</v>
      </c>
      <c r="D20">
        <v>123</v>
      </c>
      <c r="E20">
        <v>0.752</v>
      </c>
      <c r="F20">
        <v>0.586</v>
      </c>
      <c r="G20">
        <v>0.91</v>
      </c>
    </row>
    <row r="21" spans="1:7">
      <c r="A21" t="s">
        <v>3</v>
      </c>
      <c r="B21" t="s">
        <v>31</v>
      </c>
      <c r="C21" t="s">
        <v>34</v>
      </c>
      <c r="D21">
        <v>123</v>
      </c>
      <c r="E21">
        <v>0.713</v>
      </c>
      <c r="F21">
        <v>0.457</v>
      </c>
      <c r="G21">
        <v>0.9330000000000001</v>
      </c>
    </row>
    <row r="22" spans="1:7">
      <c r="A22" t="s">
        <v>3</v>
      </c>
      <c r="B22" t="s">
        <v>31</v>
      </c>
      <c r="C22" t="s">
        <v>35</v>
      </c>
      <c r="D22">
        <v>123</v>
      </c>
      <c r="E22">
        <v>0.767</v>
      </c>
      <c r="F22">
        <v>0.51</v>
      </c>
      <c r="G22">
        <v>0.9419999999999999</v>
      </c>
    </row>
    <row r="23" spans="1:7">
      <c r="A23" t="s">
        <v>3</v>
      </c>
      <c r="B23" t="s">
        <v>32</v>
      </c>
      <c r="C23" t="s">
        <v>33</v>
      </c>
      <c r="D23">
        <v>123</v>
      </c>
      <c r="E23">
        <v>0.752</v>
      </c>
      <c r="F23">
        <v>0.593</v>
      </c>
      <c r="G23">
        <v>0.899</v>
      </c>
    </row>
    <row r="24" spans="1:7">
      <c r="A24" t="s">
        <v>3</v>
      </c>
      <c r="B24" t="s">
        <v>32</v>
      </c>
      <c r="C24" t="s">
        <v>34</v>
      </c>
      <c r="D24">
        <v>123</v>
      </c>
      <c r="E24">
        <v>0.713</v>
      </c>
      <c r="F24">
        <v>0.466</v>
      </c>
      <c r="G24">
        <v>0.927</v>
      </c>
    </row>
    <row r="25" spans="1:7">
      <c r="A25" t="s">
        <v>3</v>
      </c>
      <c r="B25" t="s">
        <v>32</v>
      </c>
      <c r="C25" t="s">
        <v>35</v>
      </c>
      <c r="D25">
        <v>123</v>
      </c>
      <c r="E25">
        <v>0.767</v>
      </c>
      <c r="F25">
        <v>0.502</v>
      </c>
      <c r="G25">
        <v>0.944</v>
      </c>
    </row>
    <row r="26" spans="1:7">
      <c r="A26" t="s">
        <v>4</v>
      </c>
      <c r="B26" t="s">
        <v>29</v>
      </c>
      <c r="C26" t="s">
        <v>33</v>
      </c>
      <c r="D26">
        <v>200</v>
      </c>
      <c r="E26">
        <v>0.739</v>
      </c>
      <c r="F26">
        <v>0.655</v>
      </c>
      <c r="G26">
        <v>0.8100000000000001</v>
      </c>
    </row>
    <row r="27" spans="1:7">
      <c r="A27" t="s">
        <v>4</v>
      </c>
      <c r="B27" t="s">
        <v>29</v>
      </c>
      <c r="C27" t="s">
        <v>34</v>
      </c>
      <c r="D27">
        <v>200</v>
      </c>
      <c r="E27">
        <v>0.757</v>
      </c>
      <c r="F27">
        <v>0.679</v>
      </c>
      <c r="G27">
        <v>0.826</v>
      </c>
    </row>
    <row r="28" spans="1:7">
      <c r="A28" t="s">
        <v>4</v>
      </c>
      <c r="B28" t="s">
        <v>29</v>
      </c>
      <c r="C28" t="s">
        <v>35</v>
      </c>
      <c r="D28">
        <v>200</v>
      </c>
      <c r="E28">
        <v>0.711</v>
      </c>
      <c r="F28">
        <v>0.621</v>
      </c>
      <c r="G28">
        <v>0.793</v>
      </c>
    </row>
    <row r="29" spans="1:7">
      <c r="A29" t="s">
        <v>4</v>
      </c>
      <c r="B29" t="s">
        <v>30</v>
      </c>
      <c r="C29" t="s">
        <v>33</v>
      </c>
      <c r="D29">
        <v>97</v>
      </c>
      <c r="E29">
        <v>0.763</v>
      </c>
      <c r="F29">
        <v>0.632</v>
      </c>
      <c r="G29">
        <v>0.884</v>
      </c>
    </row>
    <row r="30" spans="1:7">
      <c r="A30" t="s">
        <v>4</v>
      </c>
      <c r="B30" t="s">
        <v>30</v>
      </c>
      <c r="C30" t="s">
        <v>34</v>
      </c>
      <c r="D30">
        <v>144</v>
      </c>
      <c r="E30">
        <v>0.744</v>
      </c>
      <c r="F30">
        <v>0.645</v>
      </c>
      <c r="G30">
        <v>0.84</v>
      </c>
    </row>
    <row r="31" spans="1:7">
      <c r="A31" t="s">
        <v>4</v>
      </c>
      <c r="B31" t="s">
        <v>30</v>
      </c>
      <c r="C31" t="s">
        <v>35</v>
      </c>
      <c r="D31">
        <v>143</v>
      </c>
      <c r="E31">
        <v>0.6879999999999999</v>
      </c>
      <c r="F31">
        <v>0.584</v>
      </c>
      <c r="G31">
        <v>0.788</v>
      </c>
    </row>
    <row r="32" spans="1:7">
      <c r="A32" t="s">
        <v>4</v>
      </c>
      <c r="B32" t="s">
        <v>31</v>
      </c>
      <c r="C32" t="s">
        <v>33</v>
      </c>
      <c r="D32">
        <v>200</v>
      </c>
      <c r="E32">
        <v>0.721</v>
      </c>
      <c r="F32">
        <v>0.631</v>
      </c>
      <c r="G32">
        <v>0.802</v>
      </c>
    </row>
    <row r="33" spans="1:7">
      <c r="A33" t="s">
        <v>4</v>
      </c>
      <c r="B33" t="s">
        <v>31</v>
      </c>
      <c r="C33" t="s">
        <v>34</v>
      </c>
      <c r="D33">
        <v>200</v>
      </c>
      <c r="E33">
        <v>0.729</v>
      </c>
      <c r="F33">
        <v>0.64</v>
      </c>
      <c r="G33">
        <v>0.8070000000000001</v>
      </c>
    </row>
    <row r="34" spans="1:7">
      <c r="A34" t="s">
        <v>4</v>
      </c>
      <c r="B34" t="s">
        <v>31</v>
      </c>
      <c r="C34" t="s">
        <v>35</v>
      </c>
      <c r="D34">
        <v>200</v>
      </c>
      <c r="E34">
        <v>0.706</v>
      </c>
      <c r="F34">
        <v>0.622</v>
      </c>
      <c r="G34">
        <v>0.786</v>
      </c>
    </row>
    <row r="35" spans="1:7">
      <c r="A35" t="s">
        <v>4</v>
      </c>
      <c r="B35" t="s">
        <v>32</v>
      </c>
      <c r="C35" t="s">
        <v>33</v>
      </c>
      <c r="D35">
        <v>200</v>
      </c>
      <c r="E35">
        <v>0.718</v>
      </c>
      <c r="F35">
        <v>0.623</v>
      </c>
      <c r="G35">
        <v>0.804</v>
      </c>
    </row>
    <row r="36" spans="1:7">
      <c r="A36" t="s">
        <v>4</v>
      </c>
      <c r="B36" t="s">
        <v>32</v>
      </c>
      <c r="C36" t="s">
        <v>34</v>
      </c>
      <c r="D36">
        <v>200</v>
      </c>
      <c r="E36">
        <v>0.735</v>
      </c>
      <c r="F36">
        <v>0.652</v>
      </c>
      <c r="G36">
        <v>0.819</v>
      </c>
    </row>
    <row r="37" spans="1:7">
      <c r="A37" t="s">
        <v>4</v>
      </c>
      <c r="B37" t="s">
        <v>32</v>
      </c>
      <c r="C37" t="s">
        <v>35</v>
      </c>
      <c r="D37">
        <v>200</v>
      </c>
      <c r="E37">
        <v>0.707</v>
      </c>
      <c r="F37">
        <v>0.618</v>
      </c>
      <c r="G37">
        <v>0.789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>
      <c r="A2" t="s">
        <v>5</v>
      </c>
      <c r="B2" t="s">
        <v>41</v>
      </c>
      <c r="C2" t="s">
        <v>51</v>
      </c>
      <c r="D2" t="s">
        <v>61</v>
      </c>
      <c r="E2">
        <v>1</v>
      </c>
      <c r="F2" t="s">
        <v>64</v>
      </c>
    </row>
    <row r="3" spans="1:6">
      <c r="A3" t="s">
        <v>6</v>
      </c>
      <c r="B3" t="s">
        <v>42</v>
      </c>
      <c r="C3" t="s">
        <v>52</v>
      </c>
      <c r="D3" t="s">
        <v>62</v>
      </c>
      <c r="E3">
        <v>1</v>
      </c>
      <c r="F3" t="s">
        <v>64</v>
      </c>
    </row>
    <row r="4" spans="1:6">
      <c r="A4" t="s">
        <v>7</v>
      </c>
      <c r="B4" t="s">
        <v>43</v>
      </c>
      <c r="C4" t="s">
        <v>53</v>
      </c>
      <c r="D4" t="s">
        <v>63</v>
      </c>
      <c r="E4">
        <v>1</v>
      </c>
      <c r="F4" t="s">
        <v>65</v>
      </c>
    </row>
    <row r="5" spans="1:6">
      <c r="A5" t="s">
        <v>8</v>
      </c>
      <c r="B5" t="s">
        <v>44</v>
      </c>
      <c r="C5" t="s">
        <v>54</v>
      </c>
      <c r="D5" t="s">
        <v>61</v>
      </c>
      <c r="E5">
        <v>1</v>
      </c>
      <c r="F5" t="s">
        <v>64</v>
      </c>
    </row>
    <row r="6" spans="1:6">
      <c r="A6" t="s">
        <v>9</v>
      </c>
      <c r="B6" t="s">
        <v>45</v>
      </c>
      <c r="C6" t="s">
        <v>55</v>
      </c>
      <c r="D6" t="s">
        <v>61</v>
      </c>
      <c r="E6">
        <v>7.27</v>
      </c>
      <c r="F6" t="s">
        <v>64</v>
      </c>
    </row>
    <row r="7" spans="1:6">
      <c r="A7" t="s">
        <v>10</v>
      </c>
      <c r="B7" t="s">
        <v>46</v>
      </c>
      <c r="C7" t="s">
        <v>56</v>
      </c>
      <c r="D7" t="s">
        <v>62</v>
      </c>
      <c r="E7">
        <v>5.2</v>
      </c>
      <c r="F7" t="s">
        <v>64</v>
      </c>
    </row>
    <row r="8" spans="1:6">
      <c r="A8" t="s">
        <v>11</v>
      </c>
      <c r="B8" t="s">
        <v>47</v>
      </c>
      <c r="C8" t="s">
        <v>57</v>
      </c>
      <c r="D8" t="s">
        <v>63</v>
      </c>
      <c r="E8">
        <v>15.5</v>
      </c>
      <c r="F8" t="s">
        <v>65</v>
      </c>
    </row>
    <row r="9" spans="1:6">
      <c r="A9" t="s">
        <v>12</v>
      </c>
      <c r="B9" t="s">
        <v>48</v>
      </c>
      <c r="C9" t="s">
        <v>58</v>
      </c>
      <c r="D9" t="s">
        <v>61</v>
      </c>
      <c r="E9">
        <v>102.9</v>
      </c>
      <c r="F9" t="s">
        <v>64</v>
      </c>
    </row>
    <row r="10" spans="1:6">
      <c r="A10" t="s">
        <v>13</v>
      </c>
      <c r="B10" t="s">
        <v>49</v>
      </c>
      <c r="C10" t="s">
        <v>59</v>
      </c>
      <c r="D10" t="s">
        <v>62</v>
      </c>
      <c r="E10">
        <v>87.3</v>
      </c>
      <c r="F10" t="s">
        <v>64</v>
      </c>
    </row>
    <row r="11" spans="1:6">
      <c r="A11" t="s">
        <v>14</v>
      </c>
      <c r="B11" t="s">
        <v>50</v>
      </c>
      <c r="C11" t="s">
        <v>60</v>
      </c>
      <c r="D11" t="s">
        <v>61</v>
      </c>
      <c r="E11">
        <v>87.3</v>
      </c>
      <c r="F1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0</v>
      </c>
      <c r="B1" t="s">
        <v>66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67</v>
      </c>
      <c r="B2" t="s">
        <v>69</v>
      </c>
      <c r="C2" t="s">
        <v>73</v>
      </c>
      <c r="D2" t="s">
        <v>91</v>
      </c>
      <c r="E2" t="s">
        <v>110</v>
      </c>
      <c r="F2" t="s">
        <v>131</v>
      </c>
    </row>
    <row r="3" spans="1:6">
      <c r="A3" t="s">
        <v>68</v>
      </c>
      <c r="B3" t="s">
        <v>70</v>
      </c>
      <c r="C3" t="s">
        <v>74</v>
      </c>
      <c r="D3" t="s">
        <v>92</v>
      </c>
      <c r="E3" t="s">
        <v>111</v>
      </c>
      <c r="F3" t="s">
        <v>132</v>
      </c>
    </row>
    <row r="4" spans="1:6">
      <c r="A4" t="s">
        <v>5</v>
      </c>
      <c r="B4" t="s">
        <v>71</v>
      </c>
      <c r="C4" t="s">
        <v>75</v>
      </c>
      <c r="D4" t="s">
        <v>93</v>
      </c>
      <c r="E4" t="s">
        <v>112</v>
      </c>
      <c r="F4" t="s">
        <v>133</v>
      </c>
    </row>
    <row r="5" spans="1:6">
      <c r="A5" t="s">
        <v>5</v>
      </c>
      <c r="B5" t="s">
        <v>72</v>
      </c>
      <c r="C5" t="s">
        <v>76</v>
      </c>
      <c r="D5" t="s">
        <v>76</v>
      </c>
      <c r="E5" t="s">
        <v>76</v>
      </c>
      <c r="F5" t="s">
        <v>76</v>
      </c>
    </row>
    <row r="6" spans="1:6">
      <c r="A6" t="s">
        <v>6</v>
      </c>
      <c r="B6">
        <f> 1, n (%)</f>
        <v>0</v>
      </c>
      <c r="C6" t="s">
        <v>77</v>
      </c>
      <c r="D6" t="s">
        <v>94</v>
      </c>
      <c r="E6" t="s">
        <v>113</v>
      </c>
      <c r="F6" t="s">
        <v>134</v>
      </c>
    </row>
    <row r="7" spans="1:6">
      <c r="A7" t="s">
        <v>6</v>
      </c>
      <c r="B7" t="s">
        <v>72</v>
      </c>
      <c r="C7" t="s">
        <v>76</v>
      </c>
      <c r="D7" t="s">
        <v>76</v>
      </c>
      <c r="E7" t="s">
        <v>76</v>
      </c>
      <c r="F7" t="s">
        <v>76</v>
      </c>
    </row>
    <row r="8" spans="1:6">
      <c r="A8" t="s">
        <v>7</v>
      </c>
      <c r="B8">
        <f> 1, n (%)</f>
        <v>0</v>
      </c>
      <c r="C8" t="s">
        <v>78</v>
      </c>
      <c r="D8" t="s">
        <v>95</v>
      </c>
      <c r="E8" t="s">
        <v>114</v>
      </c>
      <c r="F8" t="s">
        <v>135</v>
      </c>
    </row>
    <row r="9" spans="1:6">
      <c r="A9" t="s">
        <v>7</v>
      </c>
      <c r="B9">
        <f> 2, n (%)</f>
        <v>0</v>
      </c>
      <c r="C9" t="s">
        <v>79</v>
      </c>
      <c r="D9" t="s">
        <v>92</v>
      </c>
      <c r="E9" t="s">
        <v>114</v>
      </c>
      <c r="F9" t="s">
        <v>136</v>
      </c>
    </row>
    <row r="10" spans="1:6">
      <c r="A10" t="s">
        <v>7</v>
      </c>
      <c r="B10">
        <f> 3, n (%)</f>
        <v>0</v>
      </c>
      <c r="C10" t="s">
        <v>80</v>
      </c>
      <c r="D10" t="s">
        <v>96</v>
      </c>
      <c r="E10" t="s">
        <v>115</v>
      </c>
      <c r="F10" t="s">
        <v>137</v>
      </c>
    </row>
    <row r="11" spans="1:6">
      <c r="A11" t="s">
        <v>7</v>
      </c>
      <c r="B11">
        <f> 4, n (%)</f>
        <v>0</v>
      </c>
      <c r="C11" t="s">
        <v>81</v>
      </c>
      <c r="D11" t="s">
        <v>97</v>
      </c>
      <c r="E11" t="s">
        <v>116</v>
      </c>
      <c r="F11" t="s">
        <v>138</v>
      </c>
    </row>
    <row r="12" spans="1:6">
      <c r="A12" t="s">
        <v>7</v>
      </c>
      <c r="B12" t="s">
        <v>72</v>
      </c>
      <c r="C12" t="s">
        <v>76</v>
      </c>
      <c r="D12" t="s">
        <v>76</v>
      </c>
      <c r="E12" t="s">
        <v>76</v>
      </c>
      <c r="F12" t="s">
        <v>76</v>
      </c>
    </row>
    <row r="13" spans="1:6">
      <c r="A13" t="s">
        <v>8</v>
      </c>
      <c r="B13" t="s">
        <v>71</v>
      </c>
      <c r="C13" t="s">
        <v>82</v>
      </c>
      <c r="D13" t="s">
        <v>98</v>
      </c>
      <c r="E13" t="s">
        <v>117</v>
      </c>
      <c r="F13" t="s">
        <v>139</v>
      </c>
    </row>
    <row r="14" spans="1:6">
      <c r="A14" t="s">
        <v>8</v>
      </c>
      <c r="B14" t="s">
        <v>72</v>
      </c>
      <c r="C14" t="s">
        <v>76</v>
      </c>
      <c r="D14" t="s">
        <v>99</v>
      </c>
      <c r="E14" t="s">
        <v>118</v>
      </c>
      <c r="F14" t="s">
        <v>140</v>
      </c>
    </row>
    <row r="15" spans="1:6">
      <c r="A15" t="s">
        <v>9</v>
      </c>
      <c r="B15" t="s">
        <v>71</v>
      </c>
      <c r="C15" t="s">
        <v>83</v>
      </c>
      <c r="D15" t="s">
        <v>100</v>
      </c>
      <c r="E15" t="s">
        <v>119</v>
      </c>
      <c r="F15" t="s">
        <v>141</v>
      </c>
    </row>
    <row r="16" spans="1:6">
      <c r="A16" t="s">
        <v>9</v>
      </c>
      <c r="B16" t="s">
        <v>72</v>
      </c>
      <c r="C16" t="s">
        <v>76</v>
      </c>
      <c r="D16" t="s">
        <v>101</v>
      </c>
      <c r="E16" t="s">
        <v>120</v>
      </c>
      <c r="F16" t="s">
        <v>142</v>
      </c>
    </row>
    <row r="17" spans="1:6">
      <c r="A17" t="s">
        <v>10</v>
      </c>
      <c r="B17">
        <f> 1, n (%)</f>
        <v>0</v>
      </c>
      <c r="C17" t="s">
        <v>84</v>
      </c>
      <c r="D17" t="s">
        <v>102</v>
      </c>
      <c r="E17" t="s">
        <v>121</v>
      </c>
      <c r="F17" t="s">
        <v>143</v>
      </c>
    </row>
    <row r="18" spans="1:6">
      <c r="A18" t="s">
        <v>10</v>
      </c>
      <c r="B18" t="s">
        <v>72</v>
      </c>
      <c r="C18" t="s">
        <v>76</v>
      </c>
      <c r="D18" t="s">
        <v>103</v>
      </c>
      <c r="E18" t="s">
        <v>122</v>
      </c>
      <c r="F18" t="s">
        <v>144</v>
      </c>
    </row>
    <row r="19" spans="1:6">
      <c r="A19" t="s">
        <v>11</v>
      </c>
      <c r="B19">
        <f> 0, n (%)</f>
        <v>0</v>
      </c>
      <c r="C19" t="s">
        <v>85</v>
      </c>
      <c r="D19" t="s">
        <v>104</v>
      </c>
      <c r="E19" t="s">
        <v>123</v>
      </c>
      <c r="F19" t="s">
        <v>145</v>
      </c>
    </row>
    <row r="20" spans="1:6">
      <c r="A20" t="s">
        <v>11</v>
      </c>
      <c r="B20">
        <f> 1, n (%)</f>
        <v>0</v>
      </c>
      <c r="C20" t="s">
        <v>86</v>
      </c>
      <c r="D20" t="s">
        <v>105</v>
      </c>
      <c r="E20" t="s">
        <v>124</v>
      </c>
      <c r="F20" t="s">
        <v>146</v>
      </c>
    </row>
    <row r="21" spans="1:6">
      <c r="A21" t="s">
        <v>11</v>
      </c>
      <c r="B21">
        <f> 2, n (%)</f>
        <v>0</v>
      </c>
      <c r="C21" t="s">
        <v>87</v>
      </c>
      <c r="D21" t="s">
        <v>106</v>
      </c>
      <c r="E21" t="s">
        <v>125</v>
      </c>
      <c r="F21" t="s">
        <v>147</v>
      </c>
    </row>
    <row r="22" spans="1:6">
      <c r="A22" t="s">
        <v>11</v>
      </c>
      <c r="B22" t="s">
        <v>72</v>
      </c>
      <c r="C22" t="s">
        <v>76</v>
      </c>
      <c r="D22" t="s">
        <v>99</v>
      </c>
      <c r="E22" t="s">
        <v>126</v>
      </c>
      <c r="F22" t="s">
        <v>76</v>
      </c>
    </row>
    <row r="23" spans="1:6">
      <c r="A23" t="s">
        <v>12</v>
      </c>
      <c r="B23" t="s">
        <v>71</v>
      </c>
      <c r="C23" t="s">
        <v>88</v>
      </c>
      <c r="D23" t="s">
        <v>107</v>
      </c>
      <c r="E23" t="s">
        <v>127</v>
      </c>
      <c r="F23" t="s">
        <v>148</v>
      </c>
    </row>
    <row r="24" spans="1:6">
      <c r="A24" t="s">
        <v>12</v>
      </c>
      <c r="B24" t="s">
        <v>72</v>
      </c>
      <c r="C24" t="s">
        <v>76</v>
      </c>
      <c r="D24" t="s">
        <v>99</v>
      </c>
      <c r="E24" t="s">
        <v>126</v>
      </c>
      <c r="F24" t="s">
        <v>149</v>
      </c>
    </row>
    <row r="25" spans="1:6">
      <c r="A25" t="s">
        <v>13</v>
      </c>
      <c r="B25">
        <f> 1, n (%)</f>
        <v>0</v>
      </c>
      <c r="C25" t="s">
        <v>89</v>
      </c>
      <c r="D25" t="s">
        <v>108</v>
      </c>
      <c r="E25" t="s">
        <v>128</v>
      </c>
      <c r="F25" t="s">
        <v>150</v>
      </c>
    </row>
    <row r="26" spans="1:6">
      <c r="A26" t="s">
        <v>13</v>
      </c>
      <c r="B26" t="s">
        <v>72</v>
      </c>
      <c r="C26" t="s">
        <v>76</v>
      </c>
      <c r="D26" t="s">
        <v>99</v>
      </c>
      <c r="E26" t="s">
        <v>126</v>
      </c>
      <c r="F26" t="s">
        <v>149</v>
      </c>
    </row>
    <row r="27" spans="1:6">
      <c r="A27" t="s">
        <v>14</v>
      </c>
      <c r="B27" t="s">
        <v>71</v>
      </c>
      <c r="C27" t="s">
        <v>90</v>
      </c>
      <c r="D27" t="s">
        <v>109</v>
      </c>
      <c r="E27" t="s">
        <v>129</v>
      </c>
      <c r="F27" t="s">
        <v>151</v>
      </c>
    </row>
    <row r="28" spans="1:6">
      <c r="A28" t="s">
        <v>14</v>
      </c>
      <c r="B28" t="s">
        <v>72</v>
      </c>
      <c r="C28" t="s">
        <v>76</v>
      </c>
      <c r="D28" t="s">
        <v>76</v>
      </c>
      <c r="E28" t="s">
        <v>130</v>
      </c>
      <c r="F28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t="s">
        <v>26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>
      <c r="A2" t="s">
        <v>158</v>
      </c>
      <c r="B2" t="s">
        <v>161</v>
      </c>
      <c r="C2">
        <v>-0.5392</v>
      </c>
    </row>
    <row r="3" spans="1:7">
      <c r="A3" t="s">
        <v>158</v>
      </c>
      <c r="B3" t="s">
        <v>5</v>
      </c>
      <c r="C3">
        <v>0.1967</v>
      </c>
      <c r="D3">
        <v>56</v>
      </c>
      <c r="E3">
        <v>54.43894389438944</v>
      </c>
      <c r="F3">
        <v>9.02373483119838</v>
      </c>
      <c r="G3">
        <v>0.02179782870961982</v>
      </c>
    </row>
    <row r="4" spans="1:7">
      <c r="A4" t="s">
        <v>158</v>
      </c>
      <c r="B4" t="s">
        <v>6</v>
      </c>
      <c r="C4">
        <v>0.8438</v>
      </c>
      <c r="D4">
        <v>1</v>
      </c>
      <c r="E4">
        <v>0.6798679867986799</v>
      </c>
      <c r="F4">
        <v>0.4665270703024529</v>
      </c>
      <c r="G4">
        <v>1.80867279984751</v>
      </c>
    </row>
    <row r="5" spans="1:7">
      <c r="A5" t="s">
        <v>158</v>
      </c>
      <c r="B5" t="s">
        <v>162</v>
      </c>
      <c r="C5">
        <v>-0.6895</v>
      </c>
    </row>
    <row r="6" spans="1:7">
      <c r="A6" t="s">
        <v>158</v>
      </c>
      <c r="B6" t="s">
        <v>163</v>
      </c>
      <c r="C6">
        <v>-0.1032</v>
      </c>
    </row>
    <row r="7" spans="1:7">
      <c r="A7" t="s">
        <v>158</v>
      </c>
      <c r="B7" t="s">
        <v>164</v>
      </c>
      <c r="C7">
        <v>-0.5114</v>
      </c>
    </row>
    <row r="8" spans="1:7">
      <c r="A8" t="s">
        <v>158</v>
      </c>
      <c r="B8" t="s">
        <v>165</v>
      </c>
      <c r="C8">
        <v>1.3057</v>
      </c>
    </row>
    <row r="9" spans="1:7">
      <c r="A9" t="s">
        <v>158</v>
      </c>
      <c r="B9" t="s">
        <v>8</v>
      </c>
      <c r="C9">
        <v>0.2883</v>
      </c>
      <c r="D9">
        <v>130</v>
      </c>
      <c r="E9">
        <v>131.6897689768977</v>
      </c>
      <c r="F9">
        <v>17.57068123951248</v>
      </c>
      <c r="G9">
        <v>0.0164063297485229</v>
      </c>
    </row>
    <row r="10" spans="1:7">
      <c r="A10" t="s">
        <v>158</v>
      </c>
      <c r="B10" t="s">
        <v>9</v>
      </c>
      <c r="C10">
        <v>0.2524</v>
      </c>
      <c r="D10">
        <v>241</v>
      </c>
      <c r="E10">
        <v>246.6930693069307</v>
      </c>
      <c r="F10">
        <v>51.6914064726489</v>
      </c>
      <c r="G10">
        <v>0.004881922291634339</v>
      </c>
    </row>
    <row r="11" spans="1:7">
      <c r="A11" t="s">
        <v>158</v>
      </c>
      <c r="B11" t="s">
        <v>10</v>
      </c>
      <c r="C11">
        <v>-0.0004</v>
      </c>
      <c r="D11">
        <v>0</v>
      </c>
      <c r="E11">
        <v>0.1485148514851485</v>
      </c>
      <c r="F11">
        <v>0.3556096038825341</v>
      </c>
      <c r="G11">
        <v>-0.001109726556161499</v>
      </c>
    </row>
    <row r="12" spans="1:7">
      <c r="A12" t="s">
        <v>158</v>
      </c>
      <c r="B12" t="s">
        <v>166</v>
      </c>
      <c r="C12">
        <v>-0.253</v>
      </c>
    </row>
    <row r="13" spans="1:7">
      <c r="A13" t="s">
        <v>158</v>
      </c>
      <c r="B13" t="s">
        <v>167</v>
      </c>
      <c r="C13">
        <v>0.1069</v>
      </c>
    </row>
    <row r="14" spans="1:7">
      <c r="A14" t="s">
        <v>158</v>
      </c>
      <c r="B14" t="s">
        <v>168</v>
      </c>
      <c r="C14">
        <v>0.1479</v>
      </c>
    </row>
    <row r="15" spans="1:7">
      <c r="A15" t="s">
        <v>158</v>
      </c>
      <c r="B15" t="s">
        <v>12</v>
      </c>
      <c r="C15">
        <v>-0.546</v>
      </c>
      <c r="D15">
        <v>153</v>
      </c>
      <c r="E15">
        <v>149.6072607260726</v>
      </c>
      <c r="F15">
        <v>22.83722455049312</v>
      </c>
      <c r="G15">
        <v>-0.02390991718807341</v>
      </c>
    </row>
    <row r="16" spans="1:7">
      <c r="A16" t="s">
        <v>158</v>
      </c>
      <c r="B16" t="s">
        <v>13</v>
      </c>
      <c r="C16">
        <v>0.3751</v>
      </c>
      <c r="D16">
        <v>0</v>
      </c>
      <c r="E16">
        <v>0.3267326732673267</v>
      </c>
      <c r="F16">
        <v>0.4690185854386935</v>
      </c>
      <c r="G16">
        <v>0.799760250633369</v>
      </c>
    </row>
    <row r="17" spans="1:7">
      <c r="A17" t="s">
        <v>158</v>
      </c>
      <c r="B17" t="s">
        <v>14</v>
      </c>
      <c r="C17">
        <v>0.7201</v>
      </c>
      <c r="D17">
        <v>0.8</v>
      </c>
      <c r="E17">
        <v>1.03960396039604</v>
      </c>
      <c r="F17">
        <v>1.159157473242136</v>
      </c>
      <c r="G17">
        <v>0.6212177502229805</v>
      </c>
    </row>
    <row r="18" spans="1:7">
      <c r="A18" t="s">
        <v>159</v>
      </c>
      <c r="B18" t="s">
        <v>161</v>
      </c>
      <c r="C18">
        <v>-0.6202</v>
      </c>
    </row>
    <row r="19" spans="1:7">
      <c r="A19" t="s">
        <v>159</v>
      </c>
      <c r="B19" t="s">
        <v>5</v>
      </c>
      <c r="C19">
        <v>0.4698</v>
      </c>
      <c r="D19">
        <v>56</v>
      </c>
      <c r="E19">
        <v>54.43894389438944</v>
      </c>
      <c r="F19">
        <v>9.02373483119838</v>
      </c>
      <c r="G19">
        <v>0.05206559950743718</v>
      </c>
    </row>
    <row r="20" spans="1:7">
      <c r="A20" t="s">
        <v>159</v>
      </c>
      <c r="B20" t="s">
        <v>6</v>
      </c>
      <c r="C20">
        <v>0.7292</v>
      </c>
      <c r="D20">
        <v>1</v>
      </c>
      <c r="E20">
        <v>0.6798679867986799</v>
      </c>
      <c r="F20">
        <v>0.4665270703024529</v>
      </c>
      <c r="G20">
        <v>1.563133521624968</v>
      </c>
    </row>
    <row r="21" spans="1:7">
      <c r="A21" t="s">
        <v>159</v>
      </c>
      <c r="B21" t="s">
        <v>162</v>
      </c>
      <c r="C21">
        <v>-0.6445</v>
      </c>
    </row>
    <row r="22" spans="1:7">
      <c r="A22" t="s">
        <v>159</v>
      </c>
      <c r="B22" t="s">
        <v>163</v>
      </c>
      <c r="C22">
        <v>-0.1468</v>
      </c>
    </row>
    <row r="23" spans="1:7">
      <c r="A23" t="s">
        <v>159</v>
      </c>
      <c r="B23" t="s">
        <v>164</v>
      </c>
      <c r="C23">
        <v>-0.5637</v>
      </c>
    </row>
    <row r="24" spans="1:7">
      <c r="A24" t="s">
        <v>159</v>
      </c>
      <c r="B24" t="s">
        <v>165</v>
      </c>
      <c r="C24">
        <v>1.3524</v>
      </c>
    </row>
    <row r="25" spans="1:7">
      <c r="A25" t="s">
        <v>159</v>
      </c>
      <c r="B25" t="s">
        <v>13</v>
      </c>
      <c r="C25">
        <v>0.4871</v>
      </c>
      <c r="D25">
        <v>0</v>
      </c>
      <c r="E25">
        <v>0.3267326732673267</v>
      </c>
      <c r="F25">
        <v>0.4690185854386935</v>
      </c>
      <c r="G25">
        <v>1.038555286288223</v>
      </c>
    </row>
    <row r="26" spans="1:7">
      <c r="A26" t="s">
        <v>159</v>
      </c>
      <c r="B26" t="s">
        <v>14</v>
      </c>
      <c r="C26">
        <v>0.8286</v>
      </c>
      <c r="D26">
        <v>0.8</v>
      </c>
      <c r="E26">
        <v>1.03960396039604</v>
      </c>
      <c r="F26">
        <v>1.159157473242136</v>
      </c>
      <c r="G26">
        <v>0.7148378182811489</v>
      </c>
    </row>
    <row r="27" spans="1:7">
      <c r="A27" t="s">
        <v>160</v>
      </c>
      <c r="B27" t="s">
        <v>161</v>
      </c>
      <c r="C27">
        <v>-0.8002</v>
      </c>
    </row>
    <row r="28" spans="1:7">
      <c r="A28" t="s">
        <v>160</v>
      </c>
      <c r="B28" t="s">
        <v>5</v>
      </c>
      <c r="C28">
        <v>0.488</v>
      </c>
      <c r="D28">
        <v>56</v>
      </c>
      <c r="E28">
        <v>54.43894389438944</v>
      </c>
      <c r="F28">
        <v>9.02373483119838</v>
      </c>
      <c r="G28">
        <v>0.05407655438814365</v>
      </c>
    </row>
    <row r="29" spans="1:7">
      <c r="A29" t="s">
        <v>160</v>
      </c>
      <c r="B29" t="s">
        <v>6</v>
      </c>
      <c r="C29">
        <v>0.7958</v>
      </c>
      <c r="D29">
        <v>1</v>
      </c>
      <c r="E29">
        <v>0.6798679867986799</v>
      </c>
      <c r="F29">
        <v>0.4665270703024529</v>
      </c>
      <c r="G29">
        <v>1.705828702437816</v>
      </c>
    </row>
    <row r="30" spans="1:7">
      <c r="A30" t="s">
        <v>160</v>
      </c>
      <c r="B30" t="s">
        <v>162</v>
      </c>
      <c r="C30">
        <v>-0.5243</v>
      </c>
    </row>
    <row r="31" spans="1:7">
      <c r="A31" t="s">
        <v>160</v>
      </c>
      <c r="B31" t="s">
        <v>163</v>
      </c>
      <c r="C31">
        <v>-0.6371</v>
      </c>
    </row>
    <row r="32" spans="1:7">
      <c r="A32" t="s">
        <v>160</v>
      </c>
      <c r="B32" t="s">
        <v>164</v>
      </c>
      <c r="C32">
        <v>-0.5542</v>
      </c>
    </row>
    <row r="33" spans="1:7">
      <c r="A33" t="s">
        <v>160</v>
      </c>
      <c r="B33" t="s">
        <v>165</v>
      </c>
      <c r="C33">
        <v>1.7149</v>
      </c>
    </row>
    <row r="34" spans="1:7">
      <c r="A34" t="s">
        <v>160</v>
      </c>
      <c r="B34" t="s">
        <v>8</v>
      </c>
      <c r="C34">
        <v>0.3189</v>
      </c>
      <c r="D34">
        <v>130</v>
      </c>
      <c r="E34">
        <v>131.6897689768977</v>
      </c>
      <c r="F34">
        <v>17.57068123951248</v>
      </c>
      <c r="G34">
        <v>0.01815128363471844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 missing data</vt:lpstr>
      <vt:lpstr>S2 algorithm comparisons</vt:lpstr>
      <vt:lpstr>S3 AUC by missing-data method</vt:lpstr>
      <vt:lpstr>S4 predictor definitions</vt:lpstr>
      <vt:lpstr>S5 predictors by cohort</vt:lpstr>
      <vt:lpstr>S6 model 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2026-10-17T15:34:57Z</dcterms:created>
  <dcterms:modified xsi:type="dcterms:W3CDTF">2026-10-17T15:34:57Z</dcterms:modified>
</cp:coreProperties>
</file>